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<sst xmlns="http://schemas.openxmlformats.org/spreadsheetml/2006/main" count="10" uniqueCount="10">
  <si>
    <t xml:space="preserve">A</t>
  </si>
  <si>
    <t xml:space="preserve">B</t>
  </si>
  <si>
    <t xml:space="preserve">delta x_i</t>
  </si>
  <si>
    <t xml:space="preserve">n=</t>
  </si>
  <si>
    <t xml:space="preserve">X-ср=</t>
  </si>
  <si>
    <t xml:space="preserve">S^2=</t>
  </si>
  <si>
    <t xml:space="preserve">f=</t>
  </si>
  <si>
    <t xml:space="preserve">alpha=</t>
  </si>
  <si>
    <t xml:space="preserve">T-rasch=</t>
  </si>
  <si>
    <t xml:space="preserve">T-tabl=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</si>
</sst>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3E0"/>
        <bgColor rgb="FFE8F5E9"/>
      </patternFill>
    </fill>
    <fill>
      <patternFill patternType="solid">
        <fgColor rgb="FFE8F5E9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E8F5E9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3E0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16" activeCellId="0" sqref="E16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1" t="s">
        <v>0</v>
      </c>
      <c r="B1" s="1" t="n">
        <v>1493</v>
      </c>
      <c r="C1" s="1" t="n">
        <v>1519</v>
      </c>
      <c r="D1" s="1" t="n">
        <v>1518</v>
      </c>
      <c r="E1" s="1" t="n">
        <v>1512</v>
      </c>
      <c r="F1" s="1" t="n">
        <v>1512</v>
      </c>
      <c r="G1" s="1" t="n">
        <v>1514</v>
      </c>
      <c r="H1" s="1" t="n">
        <v>1489</v>
      </c>
      <c r="I1" s="1" t="n">
        <v>1508</v>
      </c>
      <c r="J1" s="1" t="n">
        <v>1508</v>
      </c>
      <c r="K1" s="1" t="n">
        <v>1494</v>
      </c>
    </row>
    <row r="2" customFormat="false" ht="12.8" hidden="false" customHeight="false" outlineLevel="0" collapsed="false">
      <c r="A2" s="1" t="s">
        <v>1</v>
      </c>
      <c r="B2" s="1" t="n">
        <v>1509</v>
      </c>
      <c r="C2" s="1" t="n">
        <v>1494</v>
      </c>
      <c r="D2" s="1" t="n">
        <v>1512</v>
      </c>
      <c r="E2" s="1" t="n">
        <v>1483</v>
      </c>
      <c r="F2" s="1" t="n">
        <v>1507</v>
      </c>
      <c r="G2" s="1" t="n">
        <v>1491</v>
      </c>
      <c r="H2" s="1"/>
      <c r="I2" s="1"/>
      <c r="J2" s="1"/>
      <c r="K2" s="1"/>
    </row>
    <row r="3" customFormat="false" ht="12.8" hidden="false" customHeight="false" outlineLevel="0" collapsed="false">
      <c r="A3" s="2" t="s">
        <v>2</v>
      </c>
      <c r="B3" s="2" t="n">
        <f aca="false">B2-B1</f>
        <v>16</v>
      </c>
      <c r="C3" s="2" t="n">
        <f aca="false">C2-C1</f>
        <v>-25</v>
      </c>
      <c r="D3" s="2" t="n">
        <f aca="false">D2-D1</f>
        <v>-6</v>
      </c>
      <c r="E3" s="2" t="n">
        <f aca="false">E2-E1</f>
        <v>-29</v>
      </c>
      <c r="F3" s="2" t="n">
        <f aca="false">F2-F1</f>
        <v>-5</v>
      </c>
      <c r="G3" s="2" t="n">
        <f aca="false">G2-G1</f>
        <v>-23</v>
      </c>
    </row>
    <row r="4" customFormat="false" ht="12.8" hidden="false" customHeight="false" outlineLevel="0" collapsed="false">
      <c r="A4" s="3" t="s">
        <v>3</v>
      </c>
      <c r="B4" s="0" t="n">
        <v>6</v>
      </c>
      <c r="C4" s="0" t="s">
        <v>4</v>
      </c>
      <c r="D4" s="0" t="n">
        <f aca="false">AVERAGE(B3:G3)</f>
        <v>-12</v>
      </c>
      <c r="E4" s="0" t="s">
        <v>5</v>
      </c>
      <c r="F4" s="0" t="n">
        <f aca="false">_xlfn.VAR.S(B3:G3)</f>
        <v>289.6</v>
      </c>
      <c r="G4" s="0" t="s">
        <v>6</v>
      </c>
      <c r="H4" s="0" t="n">
        <f aca="false">B4-1</f>
        <v>5</v>
      </c>
      <c r="I4" s="0" t="s">
        <v>7</v>
      </c>
      <c r="J4" s="0" t="n">
        <v>0.05</v>
      </c>
    </row>
    <row r="5" customFormat="false" ht="12.8" hidden="false" customHeight="false" outlineLevel="0" collapsed="false">
      <c r="A5" s="0" t="s">
        <v>8</v>
      </c>
      <c r="B5" s="0" t="n">
        <f aca="false">ABS(D4)/SQRT(F4/B4)</f>
        <v>1.72725950984924</v>
      </c>
      <c r="C5" s="0" t="s">
        <v>9</v>
      </c>
      <c r="D5" s="0" t="n">
        <f aca="false">_xlfn.T.INV.2T(J4,H4)</f>
        <v>2.57058183563632</v>
      </c>
    </row>
  </sheetData>
  <printOptions headings="false" gridLines="false" gridLinesSet="true" horizontalCentered="false" verticalCentered="false"/>
  <pageMargins left="0.7875" right="0.7875" top="1.025" bottom="1.025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&amp;C&amp;A</oddHeader>
    <oddFooter>&amp;CСтраница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65</TotalTime>
  <Application>LibreOffice/7.4.0.3$Windows_X86_64 LibreOffice_project/f85e47c08ddd19c015c0114a68350214f7066f5a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ru-RU</dc:language>
  <cp:lastModifiedBy/>
  <dcterms:modified xsi:type="dcterms:W3CDTF">2023-12-25T22:35:05Z</dcterms:modified>
  <cp:revision>2</cp:revision>
  <dc:subject/>
  <dc:title/>
</cp:coreProperties>
</file>